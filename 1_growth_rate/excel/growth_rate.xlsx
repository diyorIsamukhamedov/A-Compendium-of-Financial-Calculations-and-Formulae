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200D4187-F598-4E83-A598-2B7BB7F9891A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Input_data" sheetId="1" r:id="rId1"/>
    <sheet name="Growth_rate" sheetId="2" r:id="rId2"/>
    <sheet name="Structural_shi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3" i="3"/>
  <c r="E2" i="3"/>
  <c r="D3" i="3"/>
  <c r="D2" i="3"/>
  <c r="C3" i="3"/>
  <c r="C2" i="3"/>
  <c r="D3" i="2"/>
  <c r="D4" i="2"/>
  <c r="D2" i="2"/>
  <c r="C3" i="2"/>
  <c r="C4" i="2"/>
  <c r="C2" i="2"/>
  <c r="E3" i="2"/>
  <c r="E4" i="2"/>
  <c r="E2" i="2"/>
</calcChain>
</file>

<file path=xl/sharedStrings.xml><?xml version="1.0" encoding="utf-8"?>
<sst xmlns="http://schemas.openxmlformats.org/spreadsheetml/2006/main" count="36" uniqueCount="23">
  <si>
    <t>data</t>
  </si>
  <si>
    <t>indicator</t>
  </si>
  <si>
    <t>value</t>
  </si>
  <si>
    <t>01.01.2024</t>
  </si>
  <si>
    <t>total_portfolio</t>
  </si>
  <si>
    <t>fx_component</t>
  </si>
  <si>
    <t>sum_component</t>
  </si>
  <si>
    <t>01.01.2025</t>
  </si>
  <si>
    <t>indicator_code</t>
  </si>
  <si>
    <t>v0</t>
  </si>
  <si>
    <t>v1</t>
  </si>
  <si>
    <t>growth_rate_</t>
  </si>
  <si>
    <t>Total Portfolio</t>
  </si>
  <si>
    <t>Sum-denominated</t>
  </si>
  <si>
    <t>FX Component</t>
  </si>
  <si>
    <t>part</t>
  </si>
  <si>
    <t>part_code</t>
  </si>
  <si>
    <t>share_v0_%</t>
  </si>
  <si>
    <t>share_v1_%</t>
  </si>
  <si>
    <t>delta_pp</t>
  </si>
  <si>
    <t>FX</t>
  </si>
  <si>
    <t>Sum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</si>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</sst>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3" fontId="0" fillId="0" borderId="0" xfId="0" applyNumberFormat="1"/>
    <xf numFmtId="164" fontId="1" fillId="0" borderId="1" xfId="0" applyNumberFormat="1" applyFont="1" applyBorder="1"/>
    <xf numFmtId="49" fontId="1" fillId="0" borderId="1" xfId="0" applyNumberFormat="1" applyFont="1" applyBorder="1"/>
    <xf numFmtId="3" fontId="1" fillId="0" borderId="1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3" fontId="0" fillId="0" borderId="1" xfId="0" applyNumberFormat="1" applyBorder="1"/>
    <xf numFmtId="2" fontId="3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1">
    <dxf>
      <font>
        <color rgb="FF00B050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5"/>
  <cols>
    <col min="1" max="1" width="10.85546875" style="1" bestFit="1" customWidth="1"/>
    <col min="2" max="2" width="16.5703125" style="2" bestFit="1" customWidth="1"/>
    <col min="3" max="3" width="9.140625" style="4"/>
  </cols>
  <sheetData>
    <row r="1" spans="1:3" ht="18.75">
      <c r="A1" s="8" t="s">
        <v>0</v>
      </c>
      <c r="B1" s="9" t="s">
        <v>1</v>
      </c>
      <c r="C1" s="10" t="s">
        <v>2</v>
      </c>
    </row>
    <row r="2" spans="1:3" ht="15.75">
      <c r="A2" s="5" t="s">
        <v>3</v>
      </c>
      <c r="B2" s="6" t="s">
        <v>4</v>
      </c>
      <c r="C2" s="7">
        <v>1250</v>
      </c>
    </row>
    <row r="3" spans="1:3" ht="15.75">
      <c r="A3" s="5" t="s">
        <v>3</v>
      </c>
      <c r="B3" s="6" t="s">
        <v>5</v>
      </c>
      <c r="C3" s="7">
        <v>320</v>
      </c>
    </row>
    <row r="4" spans="1:3" ht="15.75">
      <c r="A4" s="5" t="s">
        <v>3</v>
      </c>
      <c r="B4" s="6" t="s">
        <v>6</v>
      </c>
      <c r="C4" s="7">
        <v>930</v>
      </c>
    </row>
    <row r="5" spans="1:3" ht="15.75">
      <c r="A5" s="5" t="s">
        <v>7</v>
      </c>
      <c r="B5" s="6" t="s">
        <v>4</v>
      </c>
      <c r="C5" s="7">
        <v>1475</v>
      </c>
    </row>
    <row r="6" spans="1:3" ht="15.75">
      <c r="A6" s="5" t="s">
        <v>7</v>
      </c>
      <c r="B6" s="6" t="s">
        <v>5</v>
      </c>
      <c r="C6" s="7">
        <v>290</v>
      </c>
    </row>
    <row r="7" spans="1:3" ht="15.75">
      <c r="A7" s="5" t="s">
        <v>7</v>
      </c>
      <c r="B7" s="6" t="s">
        <v>6</v>
      </c>
      <c r="C7" s="7">
        <v>1185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D52E-1E1B-4C90-AA50-D65DCB6D4536}">
  <dimension ref="A1:E4"/>
  <sheetViews>
    <sheetView workbookViewId="0">
      <selection activeCell="C2" sqref="C2"/>
    </sheetView>
  </sheetViews>
  <sheetFormatPr defaultRowHeight="15"/>
  <cols>
    <col min="1" max="1" width="17" bestFit="1" customWidth="1"/>
    <col min="2" max="2" width="18" bestFit="1" customWidth="1"/>
    <col min="3" max="3" width="13.85546875" bestFit="1" customWidth="1"/>
    <col min="5" max="5" width="36.5703125" style="3" bestFit="1" customWidth="1"/>
  </cols>
  <sheetData>
    <row r="1" spans="1:5" ht="18.75">
      <c r="A1" s="8" t="s">
        <v>1</v>
      </c>
      <c r="B1" s="9" t="s">
        <v>8</v>
      </c>
      <c r="C1" s="10" t="s">
        <v>9</v>
      </c>
      <c r="D1" s="8" t="s">
        <v>10</v>
      </c>
      <c r="E1" s="9" t="s">
        <v>11</v>
      </c>
    </row>
    <row r="2" spans="1:5">
      <c r="A2" s="12" t="s">
        <v>12</v>
      </c>
      <c r="B2" s="12" t="s">
        <v>4</v>
      </c>
      <c r="C2" s="13">
        <f>_xlfn.XLOOKUP(B2, Input_data!$B$2:$B$4, Input_data!$C$2:$C$4,"Empty",0)</f>
        <v>1250</v>
      </c>
      <c r="D2" s="13">
        <f>_xlfn.XLOOKUP(B2,Input_data!$B$5:$B$7,Input_data!$C$5:$C$7,"Empty",0)</f>
        <v>1475</v>
      </c>
      <c r="E2" s="14">
        <f>ROUND(((D2-C2)/C2)*100, 2)</f>
        <v>18</v>
      </c>
    </row>
    <row r="3" spans="1:5">
      <c r="A3" s="12" t="s">
        <v>13</v>
      </c>
      <c r="B3" s="12" t="s">
        <v>6</v>
      </c>
      <c r="C3" s="13">
        <f>_xlfn.XLOOKUP(B3, Input_data!$B$2:$B$4, Input_data!$C$2:$C$4,"Empty",0)</f>
        <v>930</v>
      </c>
      <c r="D3" s="13">
        <f>_xlfn.XLOOKUP(B3,Input_data!$B$5:$B$7,Input_data!$C$5:$C$7,"Empty",0)</f>
        <v>1185</v>
      </c>
      <c r="E3" s="14">
        <f t="shared" ref="E3:E4" si="0">ROUND(((D3-C3)/C3)*100, 2)</f>
        <v>27.42</v>
      </c>
    </row>
    <row r="4" spans="1:5">
      <c r="A4" s="12" t="s">
        <v>14</v>
      </c>
      <c r="B4" s="12" t="s">
        <v>5</v>
      </c>
      <c r="C4" s="13">
        <f>_xlfn.XLOOKUP(B4, Input_data!$B$2:$B$4, Input_data!$C$2:$C$4,"Empty",0)</f>
        <v>320</v>
      </c>
      <c r="D4" s="13">
        <f>_xlfn.XLOOKUP(B4,Input_data!$B$5:$B$7,Input_data!$C$5:$C$7,"Empty",0)</f>
        <v>290</v>
      </c>
      <c r="E4" s="15">
        <f t="shared" si="0"/>
        <v>-9.3800000000000008</v>
      </c>
    </row>
  </sheetData>
  <conditionalFormatting sqref="E2:E4">
    <cfRule type="cellIs" dxfId="0" priority="1" operator="greaterThan">
      <formula>$E$2:$E$5&gt;0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7F0C-D210-487E-AE38-7FC4FB89C632}">
  <dimension ref="A1:E5"/>
  <sheetViews>
    <sheetView tabSelected="1" workbookViewId="0">
      <selection activeCell="D7" sqref="D7"/>
    </sheetView>
  </sheetViews>
  <sheetFormatPr defaultRowHeight="15"/>
  <cols>
    <col min="2" max="2" width="15.5703125" bestFit="1" customWidth="1"/>
    <col min="3" max="3" width="36.5703125" bestFit="1" customWidth="1"/>
    <col min="4" max="4" width="11.42578125" bestFit="1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5</v>
      </c>
      <c r="C2" s="11">
        <f>ROUND(_xlfn.XLOOKUP(B2, Input_data!$B$2:$B$4, Input_data!$C$2:$C$4) / _xlfn.XLOOKUP(Input_data!$B$2, Input_data!$B$2:$B$4, Input_data!$C$2:$C$4) * 100, 2)</f>
        <v>25.6</v>
      </c>
      <c r="D2">
        <f>ROUND(_xlfn.XLOOKUP(B2, Input_data!$B$5:$B$7, Input_data!$C$5:$C$7) / _xlfn.XLOOKUP(Input_data!$B$5, Input_data!$B$5:$B$7, Input_data!$C$5:$C$7) * 100, 2)</f>
        <v>19.66</v>
      </c>
      <c r="E2">
        <f>ROUND(D2-C2, 2)</f>
        <v>-5.94</v>
      </c>
    </row>
    <row r="3" spans="1:5">
      <c r="A3" t="s">
        <v>21</v>
      </c>
      <c r="B3" t="s">
        <v>6</v>
      </c>
      <c r="C3" s="11">
        <f>ROUND(_xlfn.XLOOKUP(B3, Input_data!$B$2:$B$4, Input_data!$C$2:$C$4) / _xlfn.XLOOKUP(Input_data!$B$2, Input_data!$B$2:$B$4, Input_data!$C$2:$C$4) * 100, 2)</f>
        <v>74.400000000000006</v>
      </c>
      <c r="D3">
        <f>ROUND(_xlfn.XLOOKUP(B3, Input_data!$B$5:$B$7, Input_data!$C$5:$C$7) / _xlfn.XLOOKUP(Input_data!$B$5, Input_data!$B$5:$B$7, Input_data!$C$5:$C$7) * 100, 2)</f>
        <v>80.34</v>
      </c>
      <c r="E3">
        <f>ROUND(D3-C3, 2)</f>
        <v>5.94</v>
      </c>
    </row>
    <row r="5" spans="1:5">
      <c r="A5" t="s">
        <v>22</v>
      </c>
      <c r="B5" s="16">
        <f>ROUND(SUM(E2:E3), 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2026-05-25T09:06:55Z</dcterms:created>
  <dcterms:modified xsi:type="dcterms:W3CDTF">2026-05-25T11:12:28Z</dcterms:modified>
  <cp:category/>
  <cp:contentStatus/>
</cp:coreProperties>
</file>