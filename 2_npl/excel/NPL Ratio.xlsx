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PL Cross-chec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<sst xmlns="http://schemas.openxmlformats.org/spreadsheetml/2006/main" count="14" uniqueCount="14">
  <si>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Квартал / Quarter</t>
  </si>
  <si>
    <t xml:space="preserve">Портфель / Portfolio</t>
  </si>
  <si>
    <t xml:space="preserve">NPL</t>
  </si>
  <si>
    <t xml:space="preserve">Резервы / Provisions</t>
  </si>
  <si>
    <t xml:space="preserve">NPL Ratio</t>
  </si>
  <si>
    <t xml:space="preserve">Coverage</t>
  </si>
  <si>
    <t xml:space="preserve">NPL Ratio (SQL)</t>
  </si>
  <si>
    <t xml:space="preserve">Match</t>
  </si>
  <si>
    <t xml:space="preserve">Q4 2024</t>
  </si>
  <si>
    <t xml:space="preserve">Q1 2025</t>
  </si>
  <si>
    <t xml:space="preserve">Q2 2025</t>
  </si>
  <si>
    <t xml:space="preserve">Q3 2025</t>
  </si>
  <si>
    <t xml:space="preserve">Q4 2025</t>
  </si>
  <si>
    <t xml:space="preserve">Q1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</si>
</sst>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8"/>
    <col collapsed="false" customWidth="true" hidden="false" outlineLevel="0" max="2" min="2" style="0" width="19.75"/>
    <col collapsed="false" customWidth="true" hidden="false" outlineLevel="0" max="4" min="4" style="0" width="20.35"/>
    <col collapsed="false" customWidth="true" hidden="false" outlineLevel="0" max="8" min="8" style="0" width="15.6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customFormat="false" ht="12.8" hidden="false" customHeight="false" outlineLevel="0" collapsed="false">
      <c r="A2" s="2" t="s">
        <v>8</v>
      </c>
      <c r="B2" s="3" t="n">
        <v>100</v>
      </c>
      <c r="C2" s="4" t="n">
        <v>4</v>
      </c>
      <c r="D2" s="4" t="n">
        <v>3</v>
      </c>
      <c r="E2" s="5" t="n">
        <f aca="false">C2/B2</f>
        <v>0.04</v>
      </c>
      <c r="F2" s="5" t="n">
        <f aca="false">D2/C2</f>
        <v>0.75</v>
      </c>
      <c r="H2" s="6" t="n">
        <v>0.04</v>
      </c>
      <c r="I2" s="7" t="str">
        <f aca="false">IF(E2=H2, "OK", "diff")</f>
        <v>OK</v>
      </c>
    </row>
    <row r="3" customFormat="false" ht="12.8" hidden="false" customHeight="false" outlineLevel="0" collapsed="false">
      <c r="A3" s="2" t="s">
        <v>9</v>
      </c>
      <c r="B3" s="3" t="n">
        <v>110</v>
      </c>
      <c r="C3" s="4" t="n">
        <v>5.5</v>
      </c>
      <c r="D3" s="4" t="n">
        <v>4</v>
      </c>
      <c r="E3" s="5" t="n">
        <f aca="false">C3/B3</f>
        <v>0.05</v>
      </c>
      <c r="F3" s="5" t="n">
        <f aca="false">D3/C3</f>
        <v>0.727272727272727</v>
      </c>
      <c r="H3" s="6" t="n">
        <v>0.05</v>
      </c>
      <c r="I3" s="7" t="str">
        <f aca="false">IF(E3=H3, "OK", "diff")</f>
        <v>OK</v>
      </c>
    </row>
    <row r="4" customFormat="false" ht="12.8" hidden="false" customHeight="false" outlineLevel="0" collapsed="false">
      <c r="A4" s="2" t="s">
        <v>10</v>
      </c>
      <c r="B4" s="3" t="n">
        <v>125</v>
      </c>
      <c r="C4" s="4" t="n">
        <v>7.5</v>
      </c>
      <c r="D4" s="4" t="n">
        <v>5</v>
      </c>
      <c r="E4" s="5" t="n">
        <f aca="false">C4/B4</f>
        <v>0.06</v>
      </c>
      <c r="F4" s="5" t="n">
        <f aca="false">D4/C4</f>
        <v>0.666666666666667</v>
      </c>
      <c r="H4" s="6" t="n">
        <v>0.06</v>
      </c>
      <c r="I4" s="7" t="str">
        <f aca="false">IF(E4=H4, "OK", "diff")</f>
        <v>OK</v>
      </c>
    </row>
    <row r="5" customFormat="false" ht="12.8" hidden="false" customHeight="false" outlineLevel="0" collapsed="false">
      <c r="A5" s="2" t="s">
        <v>11</v>
      </c>
      <c r="B5" s="3" t="n">
        <v>140</v>
      </c>
      <c r="C5" s="4" t="n">
        <v>9.8</v>
      </c>
      <c r="D5" s="4" t="n">
        <v>6</v>
      </c>
      <c r="E5" s="5" t="n">
        <f aca="false">C5/B5</f>
        <v>0.07</v>
      </c>
      <c r="F5" s="5" t="n">
        <f aca="false">D5/C5</f>
        <v>0.612244897959184</v>
      </c>
      <c r="H5" s="6" t="n">
        <v>0.07</v>
      </c>
      <c r="I5" s="7" t="str">
        <f aca="false">IF(E5=H5, "OK", "diff")</f>
        <v>OK</v>
      </c>
    </row>
    <row r="6" customFormat="false" ht="12.8" hidden="false" customHeight="false" outlineLevel="0" collapsed="false">
      <c r="A6" s="2" t="s">
        <v>12</v>
      </c>
      <c r="B6" s="3" t="n">
        <v>150</v>
      </c>
      <c r="C6" s="4" t="n">
        <v>12</v>
      </c>
      <c r="D6" s="4" t="n">
        <v>7</v>
      </c>
      <c r="E6" s="5" t="n">
        <f aca="false">C6/B6</f>
        <v>0.08</v>
      </c>
      <c r="F6" s="5" t="n">
        <f aca="false">D6/C6</f>
        <v>0.583333333333333</v>
      </c>
      <c r="H6" s="6" t="n">
        <v>0.08</v>
      </c>
      <c r="I6" s="7" t="str">
        <f aca="false">IF(E6=H6, "OK", "diff")</f>
        <v>OK</v>
      </c>
    </row>
    <row r="7" customFormat="false" ht="12.8" hidden="false" customHeight="false" outlineLevel="0" collapsed="false">
      <c r="A7" s="2" t="s">
        <v>13</v>
      </c>
      <c r="B7" s="3" t="n">
        <v>160</v>
      </c>
      <c r="C7" s="4" t="n">
        <v>14.4</v>
      </c>
      <c r="D7" s="4" t="n">
        <v>8</v>
      </c>
      <c r="E7" s="5" t="n">
        <f aca="false">C7/B7</f>
        <v>0.09</v>
      </c>
      <c r="F7" s="5" t="n">
        <f aca="false">D7/C7</f>
        <v>0.555555555555556</v>
      </c>
      <c r="H7" s="6" t="n">
        <v>0.09</v>
      </c>
      <c r="I7" s="7" t="str">
        <f aca="false">IF(E7=H7, "OK", "diff")</f>
        <v>OK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2026-06-02T17:41:01Z</dcterms:created>
  <dc:creator/>
  <dc:description/>
  <dc:language>en-US</dc:language>
  <cp:lastModifiedBy/>
  <dcterms:modified xsi:type="dcterms:W3CDTF">2026-06-02T23:52:15Z</dcterms:modified>
  <cp:revision>1</cp:revision>
  <dc:subject/>
  <dc:title/>
</cp:coreProperties>
</file>